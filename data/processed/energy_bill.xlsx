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nergy_bill_datase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<sst xmlns="http://schemas.openxmlformats.org/spreadsheetml/2006/main" count="23" uniqueCount="20">
  <si>
    <t xml:space="preserve">ano</t>
  </si>
  <si>
    <t xml:space="preserve">mes</t>
  </si>
  <si>
    <t xml:space="preserve">competencia</t>
  </si>
  <si>
    <t xml:space="preserve">consumo_kwh</t>
  </si>
  <si>
    <t xml:space="preserve">dias_faturados</t>
  </si>
  <si>
    <t xml:space="preserve">valor_energia</t>
  </si>
  <si>
    <t xml:space="preserve">icms</t>
  </si>
  <si>
    <t xml:space="preserve">pis</t>
  </si>
  <si>
    <t xml:space="preserve">cofins</t>
  </si>
  <si>
    <t xml:space="preserve">cosip</t>
  </si>
  <si>
    <t xml:space="preserve">valor_total</t>
  </si>
  <si>
    <t xml:space="preserve">custo_kwh</t>
  </si>
  <si>
    <t xml:space="preserve">consumo_medio_diario_kwh</t>
  </si>
  <si>
    <t xml:space="preserve">observacoes</t>
  </si>
  <si>
    <t xml:space="preserve">Julho</t>
  </si>
  <si>
    <t xml:space="preserve">07/2024</t>
  </si>
  <si>
    <t xml:space="preserve">yellow flag</t>
  </si>
  <si>
    <t xml:space="preserve">07/2025</t>
  </si>
  <si>
    <t xml:space="preserve">red flag patamar1+ juros multa e correção</t>
  </si>
  <si>
    <t xml:space="preserve">07/2026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</si>
</sst>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38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38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4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K15" activeCellId="0" sqref="K1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1.54"/>
    <col collapsed="false" customWidth="true" hidden="false" outlineLevel="0" max="3" min="3" style="0" width="17.24"/>
    <col collapsed="false" customWidth="true" hidden="false" outlineLevel="0" max="4" min="4" style="2" width="17.11"/>
    <col collapsed="false" customWidth="true" hidden="false" outlineLevel="0" max="6" min="5" style="2" width="17.39"/>
    <col collapsed="false" customWidth="false" hidden="false" outlineLevel="0" max="10" min="7" style="2" width="8.68"/>
    <col collapsed="false" customWidth="true" hidden="false" outlineLevel="0" max="11" min="11" style="2" width="13.35"/>
    <col collapsed="false" customWidth="true" hidden="false" outlineLevel="0" max="12" min="12" style="2" width="10.99"/>
    <col collapsed="false" customWidth="true" hidden="false" outlineLevel="0" max="13" min="13" style="2" width="26.01"/>
    <col collapsed="false" customWidth="true" hidden="false" outlineLevel="0" max="14" min="14" style="0" width="24.9"/>
  </cols>
  <sheetData>
    <row r="1" s="4" customFormat="true" ht="15" hidden="false" customHeight="false" outlineLevel="0" collapsed="false">
      <c r="A1" s="3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</row>
    <row r="2" customFormat="false" ht="15" hidden="false" customHeight="false" outlineLevel="0" collapsed="false">
      <c r="A2" s="1" t="n">
        <v>2024</v>
      </c>
      <c r="B2" s="0" t="s">
        <v>14</v>
      </c>
      <c r="C2" s="0" t="s">
        <v>15</v>
      </c>
      <c r="D2" s="2" t="n">
        <v>135</v>
      </c>
      <c r="E2" s="2" t="n">
        <v>30</v>
      </c>
      <c r="F2" s="2" t="n">
        <v>97.09</v>
      </c>
      <c r="G2" s="2" t="n">
        <v>11.65</v>
      </c>
      <c r="H2" s="2" t="n">
        <v>0.57</v>
      </c>
      <c r="I2" s="2" t="n">
        <v>2.62</v>
      </c>
      <c r="J2" s="2" t="n">
        <v>13.04</v>
      </c>
      <c r="K2" s="2" t="n">
        <v>110.13</v>
      </c>
      <c r="L2" s="5" t="n">
        <f aca="false">IF(D2&gt;0,K2/D2,"")</f>
        <v>0.815777777777778</v>
      </c>
      <c r="M2" s="5" t="n">
        <f aca="false">IF(AND(D2&gt;0,E2&gt;0),D2/E2,"")</f>
        <v>4.5</v>
      </c>
      <c r="N2" s="0" t="s">
        <v>16</v>
      </c>
    </row>
    <row r="3" customFormat="false" ht="15" hidden="false" customHeight="false" outlineLevel="0" collapsed="false">
      <c r="A3" s="1" t="n">
        <v>2025</v>
      </c>
      <c r="B3" s="0" t="s">
        <v>14</v>
      </c>
      <c r="C3" s="0" t="s">
        <v>17</v>
      </c>
      <c r="D3" s="2" t="n">
        <v>292</v>
      </c>
      <c r="E3" s="2" t="n">
        <v>32</v>
      </c>
      <c r="F3" s="2" t="n">
        <v>232.14</v>
      </c>
      <c r="G3" s="2" t="n">
        <v>33.67</v>
      </c>
      <c r="H3" s="2" t="n">
        <v>0.9</v>
      </c>
      <c r="I3" s="2" t="n">
        <v>4.09</v>
      </c>
      <c r="J3" s="2" t="n">
        <v>33.98</v>
      </c>
      <c r="K3" s="2" t="n">
        <v>276.9</v>
      </c>
      <c r="L3" s="5" t="n">
        <f aca="false">IF(D3&gt;0,K3/D3,"")</f>
        <v>0.948287671232877</v>
      </c>
      <c r="M3" s="5" t="n">
        <f aca="false">IF(AND(D3&gt;0,E3&gt;0),D3/E3,"")</f>
        <v>9.125</v>
      </c>
      <c r="N3" s="0" t="s">
        <v>18</v>
      </c>
    </row>
    <row r="4" customFormat="false" ht="15" hidden="false" customHeight="false" outlineLevel="0" collapsed="false">
      <c r="A4" s="1" t="n">
        <v>2026</v>
      </c>
      <c r="B4" s="0" t="s">
        <v>14</v>
      </c>
      <c r="C4" s="0" t="s">
        <v>19</v>
      </c>
      <c r="D4" s="6" t="n">
        <v>168</v>
      </c>
      <c r="E4" s="2" t="n">
        <v>32</v>
      </c>
      <c r="F4" s="2" t="n">
        <v>149.25</v>
      </c>
      <c r="G4" s="2" t="n">
        <v>18.76</v>
      </c>
      <c r="H4" s="2" t="n">
        <v>1.86</v>
      </c>
      <c r="I4" s="2" t="n">
        <v>8.59</v>
      </c>
      <c r="J4" s="2" t="n">
        <v>15.3</v>
      </c>
      <c r="K4" s="2" t="n">
        <v>176.85</v>
      </c>
      <c r="L4" s="5" t="n">
        <f aca="false">IF(D4&gt;0,K4/D4,"")</f>
        <v>1.05267857142857</v>
      </c>
      <c r="M4" s="5" t="n">
        <f aca="false">IF(AND(D4&gt;0,E4&gt;0),D4/E4,"")</f>
        <v>5.25</v>
      </c>
      <c r="N4" s="0" t="s">
        <v>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17</TotalTime>
  <Application>LibreOffice/26.2.4.2$Windows_X86_64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2026-07-28T15:56:05Z</dcterms:created>
  <dc:creator>openpyxl</dc:creator>
  <dc:description/>
  <dc:language>pt-BR</dc:language>
  <cp:lastModifiedBy/>
  <dcterms:modified xsi:type="dcterms:W3CDTF">2026-07-28T15:36:56Z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